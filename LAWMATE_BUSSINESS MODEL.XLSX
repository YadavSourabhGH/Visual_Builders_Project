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ramvinayaksingh/Desktop/"/>
    </mc:Choice>
  </mc:AlternateContent>
  <xr:revisionPtr revIDLastSave="0" documentId="8_{6914EBE9-1CEA-374C-ACA7-DE5ACFFDC9C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etailed CAPEX" sheetId="1" r:id="rId1"/>
  </sheets>
  <definedNames>
    <definedName name="_xlchart.v1.0" hidden="1">'Detailed CAPEX'!$G$10:$G$13</definedName>
    <definedName name="_xlchart.v1.1" hidden="1">'Detailed CAPEX'!$H$10:$H$13</definedName>
    <definedName name="_xlchart.v1.2" hidden="1">'Detailed CAPEX'!$H$8:$H$9</definedName>
    <definedName name="_xlchart.v1.3" hidden="1">'Detailed CAPEX'!$G$10:$G$13</definedName>
    <definedName name="_xlchart.v1.4" hidden="1">'Detailed CAPEX'!$H$10:$H$13</definedName>
    <definedName name="_xlchart.v1.5" hidden="1">'Detailed CAPEX'!$H$8:$H$9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C26" i="1"/>
  <c r="C9" i="1"/>
</calcChain>
</file>

<file path=xl/sharedStrings.xml><?xml version="1.0" encoding="utf-8"?>
<sst xmlns="http://schemas.openxmlformats.org/spreadsheetml/2006/main" count="77" uniqueCount="75">
  <si>
    <t>Category</t>
  </si>
  <si>
    <t>Description</t>
  </si>
  <si>
    <t>Estimated Cost (INR)</t>
  </si>
  <si>
    <t>Platform Development</t>
  </si>
  <si>
    <t>AI Model Development</t>
  </si>
  <si>
    <t>Initial Marketing Campaigns</t>
  </si>
  <si>
    <t>Legal Compliance &amp; Licensing</t>
  </si>
  <si>
    <t>Infrastructure Setup (Cloud, Security)</t>
  </si>
  <si>
    <t>Training and fine-tuning AI for legal assistance.</t>
  </si>
  <si>
    <t>Advertisements, SEO, and launch campaigns.</t>
  </si>
  <si>
    <t>Government fees, certifications, and compliance expenses.</t>
  </si>
  <si>
    <t>Cloud server, security tools, and encryption.</t>
  </si>
  <si>
    <t>Monthly Cost (INR)</t>
  </si>
  <si>
    <t>Monthly Hosting &amp; Cloud Costs</t>
  </si>
  <si>
    <t>Customer Support Team Salaries</t>
  </si>
  <si>
    <t>Ongoing Marketing Campaigns</t>
  </si>
  <si>
    <t>Maintenance &amp; Updates</t>
  </si>
  <si>
    <t>Administrative Costs</t>
  </si>
  <si>
    <t>Subscriptions &amp; Tools (No-code, CRM, etc.)</t>
  </si>
  <si>
    <t>Cloud hosting, storage, and bandwidth expenses.</t>
  </si>
  <si>
    <t>Salaries for a team handling user queries and issues.</t>
  </si>
  <si>
    <t>SEO, social media campaigns, and content marketing.</t>
  </si>
  <si>
    <t>Retainers for legal experts assisting the platform.</t>
  </si>
  <si>
    <t>Bug fixes, feature updates, and platform improvements.</t>
  </si>
  <si>
    <t>Utility bills, office supplies, and general admin costs.</t>
  </si>
  <si>
    <t>Monthly fees for tools like Zapier, Airtable, or Landbot.</t>
  </si>
  <si>
    <t>Revenue Stream</t>
  </si>
  <si>
    <t>Subscription Plans</t>
  </si>
  <si>
    <t>Advertisements</t>
  </si>
  <si>
    <t>Metric</t>
  </si>
  <si>
    <t>Monthly Amount (INR)</t>
  </si>
  <si>
    <t>Total Revenue</t>
  </si>
  <si>
    <t>Total OPEX</t>
  </si>
  <si>
    <t>Break-Even Period (Months)</t>
  </si>
  <si>
    <t>Design and development of the web/app platform.Backend and frontend.</t>
  </si>
  <si>
    <t>CAPEX</t>
  </si>
  <si>
    <t>Setting up office space, furniture</t>
  </si>
  <si>
    <t>OPEX</t>
  </si>
  <si>
    <t>REVENUE STREAMS</t>
  </si>
  <si>
    <t>TOTAL</t>
  </si>
  <si>
    <t>Total of capex:</t>
  </si>
  <si>
    <t xml:space="preserve">Office Setup </t>
  </si>
  <si>
    <t>TOTAL OPEX COST:</t>
  </si>
  <si>
    <t>Legal Advisor Fees(Relationship manager)</t>
  </si>
  <si>
    <t>Pay-Per-Use (Chats)</t>
  </si>
  <si>
    <t>Pay-Per-Use (Calls)	1</t>
  </si>
  <si>
    <t>Document Sharing</t>
  </si>
  <si>
    <t>Projected Monthly Revenue (INR)(users)</t>
  </si>
  <si>
    <t>50,000 (50% opt-in)</t>
  </si>
  <si>
    <t>10,000 users</t>
  </si>
  <si>
    <t>5,000 users</t>
  </si>
  <si>
    <t>Ad slots &amp; banners</t>
  </si>
  <si>
    <t>Price per User (INR)</t>
  </si>
  <si>
    <t>₹1,000/month</t>
  </si>
  <si>
    <t>₹4,000/document</t>
  </si>
  <si>
    <t>Yearly Revenue</t>
  </si>
  <si>
    <t>Total:</t>
  </si>
  <si>
    <t>₹500 after 10 chats</t>
  </si>
  <si>
    <t>₹1,000/(10)calls</t>
  </si>
  <si>
    <t>₹50,000 (flat)</t>
  </si>
  <si>
    <t>Advertisiting costs</t>
  </si>
  <si>
    <t>money provided to generate ads</t>
  </si>
  <si>
    <t>1000 users</t>
  </si>
  <si>
    <t>Extra additional costs</t>
  </si>
  <si>
    <t>The extra costs required</t>
  </si>
  <si>
    <t>2,000 Lawyers</t>
  </si>
  <si>
    <t>Lawyer subscription model</t>
  </si>
  <si>
    <t>Total investment</t>
  </si>
  <si>
    <t>INVEST MODEL</t>
  </si>
  <si>
    <t>PROFITABILITY MODEL</t>
  </si>
  <si>
    <t>TOTAL REVENUE</t>
  </si>
  <si>
    <t>REVENUE AFTER INVESTMENT</t>
  </si>
  <si>
    <t>₹1,16,50,000-34,50,00=₹8200000</t>
  </si>
  <si>
    <t xml:space="preserve">TAXES </t>
  </si>
  <si>
    <t>EBIDTA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</si>
</sst>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6" fontId="3" fillId="6" borderId="5" xfId="0" applyNumberFormat="1" applyFont="1" applyFill="1" applyBorder="1" applyAlignment="1">
      <alignment horizontal="center"/>
    </xf>
    <xf numFmtId="6" fontId="3" fillId="6" borderId="1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6" fontId="0" fillId="5" borderId="1" xfId="0" applyNumberFormat="1" applyFill="1" applyBorder="1" applyAlignment="1">
      <alignment horizontal="center"/>
    </xf>
    <xf numFmtId="0" fontId="0" fillId="6" borderId="1" xfId="0" applyFill="1" applyBorder="1"/>
    <xf numFmtId="6" fontId="0" fillId="6" borderId="1" xfId="0" applyNumberFormat="1" applyFill="1" applyBorder="1"/>
    <xf numFmtId="0" fontId="0" fillId="6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6" fontId="0" fillId="6" borderId="1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4" fillId="3" borderId="0" xfId="0" applyFont="1" applyFill="1"/>
    <xf numFmtId="0" fontId="0" fillId="6" borderId="1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6" fontId="0" fillId="6" borderId="5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6" fontId="0" fillId="6" borderId="5" xfId="0" applyNumberFormat="1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2" borderId="1" xfId="0" applyFill="1" applyBorder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0" formatCode="&quot;₹&quot;#,##0_);[Red]\(&quot;₹&quot;#,##0\)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'Detailed CAPEX'!$H$18:$H$20</c:f>
              <c:strCache>
                <c:ptCount val="3"/>
                <c:pt idx="0">
                  <c:v>PROFITABILITY MODEL</c:v>
                </c:pt>
                <c:pt idx="1">
                  <c:v>₹1,16,50,000 </c:v>
                </c:pt>
                <c:pt idx="2">
                  <c:v>₹1,16,50,000-34,50,00=₹8200000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'Detailed CAPEX'!$G$21:$G$22</c:f>
              <c:strCache>
                <c:ptCount val="2"/>
                <c:pt idx="0">
                  <c:v>TAXES </c:v>
                </c:pt>
                <c:pt idx="1">
                  <c:v>EBIDTA</c:v>
                </c:pt>
              </c:strCache>
            </c:strRef>
          </c:cat>
          <c:val>
            <c:numRef>
              <c:f>'Detailed CAPEX'!$H$21:$H$22</c:f>
              <c:numCache>
                <c:formatCode>"₹"#,##0_);[Red]\("₹"#,##0\)</c:formatCode>
                <c:ptCount val="2"/>
                <c:pt idx="0">
                  <c:v>2460000</c:v>
                </c:pt>
                <c:pt idx="1">
                  <c:v>5740000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4-114C-B9F2-C8B04ADED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5225856"/>
        <c:axId val="373575295"/>
        <c:axId val="0"/>
      </c:bar3DChart>
      <c:catAx>
        <c:axId val="22522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75295"/>
        <c:crosses val="autoZero"/>
        <c:auto val="1"/>
        <c:lblAlgn val="ctr"/>
        <c:lblOffset val="100"/>
        <c:noMultiLvlLbl val="0"/>
      </c:catAx>
      <c:valAx>
        <c:axId val="3735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2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'Detailed CAPEX'!$B$31:$B$32</c:f>
              <c:strCache>
                <c:ptCount val="2"/>
                <c:pt idx="0">
                  <c:v>REVENUE STREAMS</c:v>
                </c:pt>
                <c:pt idx="1">
                  <c:v>Projected Monthly Revenue (INR)(users)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'Detailed CAPEX'!$A$33:$A$39</c:f>
              <c:strCache>
                <c:ptCount val="7"/>
                <c:pt idx="0">
                  <c:v>Subscription Plans</c:v>
                </c:pt>
                <c:pt idx="1">
                  <c:v>Pay-Per-Use (Chats)</c:v>
                </c:pt>
                <c:pt idx="2">
                  <c:v>Pay-Per-Use (Calls)	1</c:v>
                </c:pt>
                <c:pt idx="3">
                  <c:v>Document Sharing</c:v>
                </c:pt>
                <c:pt idx="4">
                  <c:v>Lawyer subscription model</c:v>
                </c:pt>
                <c:pt idx="5">
                  <c:v>Advertisements</c:v>
                </c:pt>
                <c:pt idx="6">
                  <c:v>Total:</c:v>
                </c:pt>
              </c:strCache>
            </c:strRef>
          </c:cat>
          <c:val>
            <c:numRef>
              <c:f>'Detailed CAPEX'!$B$33:$B$39</c:f>
              <c:numCache>
                <c:formatCode>"₹"#,##0_);[Red]\("₹"#,##0\)</c:formatCode>
                <c:ptCount val="7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0-0C42-B8FB-A329A67EFB75}"/>
            </c:ext>
          </c:extLst>
        </c:ser>
        <c:ser>
          <c:idx val="1"/>
          <c:order val="1"/>
          <c:tx>
            <c:strRef>
              <c:f>'Detailed CAPEX'!$C$31:$C$32</c:f>
              <c:strCache>
                <c:ptCount val="2"/>
                <c:pt idx="0">
                  <c:v>REVENUE STREAMS</c:v>
                </c:pt>
                <c:pt idx="1">
                  <c:v>Price per User (INR)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'Detailed CAPEX'!$A$33:$A$39</c:f>
              <c:strCache>
                <c:ptCount val="7"/>
                <c:pt idx="0">
                  <c:v>Subscription Plans</c:v>
                </c:pt>
                <c:pt idx="1">
                  <c:v>Pay-Per-Use (Chats)</c:v>
                </c:pt>
                <c:pt idx="2">
                  <c:v>Pay-Per-Use (Calls)	1</c:v>
                </c:pt>
                <c:pt idx="3">
                  <c:v>Document Sharing</c:v>
                </c:pt>
                <c:pt idx="4">
                  <c:v>Lawyer subscription model</c:v>
                </c:pt>
                <c:pt idx="5">
                  <c:v>Advertisements</c:v>
                </c:pt>
                <c:pt idx="6">
                  <c:v>Total:</c:v>
                </c:pt>
              </c:strCache>
            </c:strRef>
          </c:cat>
          <c:val>
            <c:numRef>
              <c:f>'Detailed CAPEX'!$C$33:$C$39</c:f>
              <c:numCache>
                <c:formatCode>"₹"#,##0_);[Red]\("₹"#,##0\)</c:formatCode>
                <c:ptCount val="7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  <c:pt idx="4">
                  <c:v>1500</c:v>
                </c:pt>
                <c:pt idx="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0-0C42-B8FB-A329A67EFB75}"/>
            </c:ext>
          </c:extLst>
        </c:ser>
        <c:ser>
          <c:idx val="2"/>
          <c:order val="2"/>
          <c:tx>
            <c:strRef>
              <c:f>'Detailed CAPEX'!$D$31:$D$32</c:f>
              <c:strCache>
                <c:ptCount val="2"/>
                <c:pt idx="0">
                  <c:v>REVENUE STREAMS</c:v>
                </c:pt>
                <c:pt idx="1">
                  <c:v>Yearly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'Detailed CAPEX'!$A$33:$A$39</c:f>
              <c:strCache>
                <c:ptCount val="7"/>
                <c:pt idx="0">
                  <c:v>Subscription Plans</c:v>
                </c:pt>
                <c:pt idx="1">
                  <c:v>Pay-Per-Use (Chats)</c:v>
                </c:pt>
                <c:pt idx="2">
                  <c:v>Pay-Per-Use (Calls)	1</c:v>
                </c:pt>
                <c:pt idx="3">
                  <c:v>Document Sharing</c:v>
                </c:pt>
                <c:pt idx="4">
                  <c:v>Lawyer subscription model</c:v>
                </c:pt>
                <c:pt idx="5">
                  <c:v>Advertisements</c:v>
                </c:pt>
                <c:pt idx="6">
                  <c:v>Total:</c:v>
                </c:pt>
              </c:strCache>
            </c:strRef>
          </c:cat>
          <c:val>
            <c:numRef>
              <c:f>'Detailed CAPEX'!$D$33:$D$39</c:f>
              <c:numCache>
                <c:formatCode>"₹"#,##0_);[Red]\("₹"#,##0\)</c:formatCode>
                <c:ptCount val="7"/>
                <c:pt idx="0">
                  <c:v>50000</c:v>
                </c:pt>
                <c:pt idx="1">
                  <c:v>5000000</c:v>
                </c:pt>
                <c:pt idx="2">
                  <c:v>5000000</c:v>
                </c:pt>
                <c:pt idx="3">
                  <c:v>400000</c:v>
                </c:pt>
                <c:pt idx="4">
                  <c:v>500000</c:v>
                </c:pt>
                <c:pt idx="5">
                  <c:v>700000</c:v>
                </c:pt>
                <c:pt idx="6">
                  <c:v>11650000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0-0C42-B8FB-A329A67EF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462512"/>
        <c:axId val="150678719"/>
      </c:lineChart>
      <c:catAx>
        <c:axId val="190846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8719"/>
        <c:crosses val="autoZero"/>
        <c:auto val="1"/>
        <c:lblAlgn val="ctr"/>
        <c:lblOffset val="100"/>
        <c:noMultiLvlLbl val="0"/>
      </c:catAx>
      <c:valAx>
        <c:axId val="15067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6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'Detailed CAPEX'!$B$15:$B$16</c:f>
              <c:strCache>
                <c:ptCount val="2"/>
                <c:pt idx="0">
                  <c:v>OPEX</c:v>
                </c:pt>
                <c:pt idx="1">
                  <c:v>Description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'Detailed CAPEX'!$A$17:$A$26</c:f>
              <c:strCache>
                <c:ptCount val="10"/>
                <c:pt idx="0">
                  <c:v>Monthly Hosting &amp; Cloud Costs</c:v>
                </c:pt>
                <c:pt idx="1">
                  <c:v>Customer Support Team Salaries</c:v>
                </c:pt>
                <c:pt idx="2">
                  <c:v>Ongoing Marketing Campaigns</c:v>
                </c:pt>
                <c:pt idx="3">
                  <c:v>Legal Advisor Fees(Relationship manager)</c:v>
                </c:pt>
                <c:pt idx="4">
                  <c:v>Maintenance &amp; Updates</c:v>
                </c:pt>
                <c:pt idx="5">
                  <c:v>Extra additional costs</c:v>
                </c:pt>
                <c:pt idx="6">
                  <c:v>Administrative Costs</c:v>
                </c:pt>
                <c:pt idx="7">
                  <c:v>Advertisiting costs</c:v>
                </c:pt>
                <c:pt idx="8">
                  <c:v>Subscriptions &amp; Tools (No-code, CRM, etc.)</c:v>
                </c:pt>
                <c:pt idx="9">
                  <c:v>TOTAL OPEX COST:</c:v>
                </c:pt>
              </c:strCache>
            </c:strRef>
          </c:cat>
          <c:val>
            <c:numRef>
              <c:f>'Detailed CAPEX'!$B$17:$B$26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6-AD49-815B-F2D8221F132E}"/>
            </c:ext>
          </c:extLst>
        </c:ser>
        <c:ser>
          <c:idx val="1"/>
          <c:order val="1"/>
          <c:tx>
            <c:strRef>
              <c:f>'Detailed CAPEX'!$C$15:$C$16</c:f>
              <c:strCache>
                <c:ptCount val="2"/>
                <c:pt idx="0">
                  <c:v>OPEX</c:v>
                </c:pt>
                <c:pt idx="1">
                  <c:v>Monthly Cost (INR)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'Detailed CAPEX'!$A$17:$A$26</c:f>
              <c:strCache>
                <c:ptCount val="10"/>
                <c:pt idx="0">
                  <c:v>Monthly Hosting &amp; Cloud Costs</c:v>
                </c:pt>
                <c:pt idx="1">
                  <c:v>Customer Support Team Salaries</c:v>
                </c:pt>
                <c:pt idx="2">
                  <c:v>Ongoing Marketing Campaigns</c:v>
                </c:pt>
                <c:pt idx="3">
                  <c:v>Legal Advisor Fees(Relationship manager)</c:v>
                </c:pt>
                <c:pt idx="4">
                  <c:v>Maintenance &amp; Updates</c:v>
                </c:pt>
                <c:pt idx="5">
                  <c:v>Extra additional costs</c:v>
                </c:pt>
                <c:pt idx="6">
                  <c:v>Administrative Costs</c:v>
                </c:pt>
                <c:pt idx="7">
                  <c:v>Advertisiting costs</c:v>
                </c:pt>
                <c:pt idx="8">
                  <c:v>Subscriptions &amp; Tools (No-code, CRM, etc.)</c:v>
                </c:pt>
                <c:pt idx="9">
                  <c:v>TOTAL OPEX COST:</c:v>
                </c:pt>
              </c:strCache>
            </c:strRef>
          </c:cat>
          <c:val>
            <c:numRef>
              <c:f>'Detailed CAPEX'!$C$17:$C$26</c:f>
              <c:numCache>
                <c:formatCode>"₹"#,##0_);[Red]\("₹"#,##0\)</c:formatCode>
                <c:ptCount val="10"/>
                <c:pt idx="0">
                  <c:v>30000</c:v>
                </c:pt>
                <c:pt idx="1">
                  <c:v>60000</c:v>
                </c:pt>
                <c:pt idx="2">
                  <c:v>40000</c:v>
                </c:pt>
                <c:pt idx="3">
                  <c:v>10000</c:v>
                </c:pt>
                <c:pt idx="4">
                  <c:v>40000</c:v>
                </c:pt>
                <c:pt idx="5">
                  <c:v>10000</c:v>
                </c:pt>
                <c:pt idx="6">
                  <c:v>15000</c:v>
                </c:pt>
                <c:pt idx="7">
                  <c:v>20000</c:v>
                </c:pt>
                <c:pt idx="8">
                  <c:v>10000</c:v>
                </c:pt>
                <c:pt idx="9">
                  <c:v>235000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6-AD49-815B-F2D8221F1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40855704177363"/>
          <c:y val="0.28400730474718161"/>
          <c:w val="0.58182696019232993"/>
          <c:h val="0.629881659479446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F650B736-0A80-0B48-B5A7-1986CC16B6C8}">
          <cx:tx>
            <cx:txData>
              <cx:f>_xlchart.v1.5</cx:f>
              <cx:v>Monthly Amount (INR)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F4EE938-742F-1D4C-9AF6-5C1F0A8A342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640248</xdr:colOff>
      <xdr:row>25</xdr:row>
      <xdr:rowOff>81935</xdr:rowOff>
    </xdr:from>
    <xdr:to>
      <xdr:col>7</xdr:col>
      <xdr:colOff>1427438</xdr:colOff>
      <xdr:row>39</xdr:row>
      <xdr:rowOff>83966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790DB-FA58-6A14-8657-8926E6BD2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909484</xdr:colOff>
      <xdr:row>41</xdr:row>
      <xdr:rowOff>27310</xdr:rowOff>
    </xdr:from>
    <xdr:to>
      <xdr:col>6</xdr:col>
      <xdr:colOff>1283656</xdr:colOff>
      <xdr:row>58</xdr:row>
      <xdr:rowOff>150214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6EDEC8-26B4-F5BF-8844-BC8ED3461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751075</xdr:colOff>
      <xdr:row>56</xdr:row>
      <xdr:rowOff>13654</xdr:rowOff>
    </xdr:from>
    <xdr:to>
      <xdr:col>2</xdr:col>
      <xdr:colOff>355054</xdr:colOff>
      <xdr:row>67</xdr:row>
      <xdr:rowOff>122904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C06E52-D3E0-5058-643B-47FDD1BBB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909484</xdr:colOff>
      <xdr:row>66</xdr:row>
      <xdr:rowOff>40967</xdr:rowOff>
    </xdr:from>
    <xdr:to>
      <xdr:col>7</xdr:col>
      <xdr:colOff>1857206</xdr:colOff>
      <xdr:row>92</xdr:row>
      <xdr:rowOff>13655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FF058F3-C373-DE6E-58C6-3E4D4B96ED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4538" y="12659032"/>
              <a:ext cx="7857614" cy="4943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24A99-2E3D-7843-B16B-670477403CE9}" name="Table1" displayName="Table1" ref="A2:C9" totalsRowCount="1" dataDxfId="3" headerRowBorderDxfId="8" tableBorderDxfId="9" totalsRowBorderDxfId="7">
  <autoFilter ref="A2:C8" xr:uid="{1D924A99-2E3D-7843-B16B-670477403CE9}"/>
  <tableColumns count="3">
    <tableColumn id="1" xr3:uid="{944C7143-F632-9F4B-B42A-43775BED312F}" name="Category" totalsRowLabel="TOTAL" dataDxfId="6" totalsRowDxfId="2"/>
    <tableColumn id="2" xr3:uid="{D6705B31-22A8-3142-8BA8-03620757914A}" name="Description" totalsRowLabel="Total of capex:" dataDxfId="5" totalsRowDxfId="1"/>
    <tableColumn id="3" xr3:uid="{D5F9AFA6-6DA9-4A43-83C9-EE9471F0F2AF}" name="Estimated Cost (INR)" totalsRowFunction="custom" dataDxfId="4" totalsRowDxfId="0">
      <totalsRowFormula>SUM(Table1[Estimated Cost (INR)])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="93" zoomScaleNormal="93" workbookViewId="0">
      <selection activeCell="L73" sqref="L73"/>
    </sheetView>
  </sheetViews>
  <sheetFormatPr baseColWidth="10" defaultColWidth="8.83203125" defaultRowHeight="15" x14ac:dyDescent="0.2"/>
  <cols>
    <col min="1" max="1" width="30" customWidth="1"/>
    <col min="2" max="2" width="58" customWidth="1"/>
    <col min="3" max="3" width="37.1640625" customWidth="1"/>
    <col min="4" max="4" width="11.5" bestFit="1" customWidth="1"/>
    <col min="7" max="7" width="24.5" customWidth="1"/>
    <col min="8" max="8" width="28.33203125" customWidth="1"/>
  </cols>
  <sheetData>
    <row r="1" spans="1:8" x14ac:dyDescent="0.2">
      <c r="A1" s="12" t="s">
        <v>35</v>
      </c>
      <c r="B1" s="12"/>
      <c r="C1" s="12"/>
    </row>
    <row r="2" spans="1:8" x14ac:dyDescent="0.2">
      <c r="A2" s="2" t="s">
        <v>0</v>
      </c>
      <c r="B2" s="3" t="s">
        <v>1</v>
      </c>
      <c r="C2" s="4" t="s">
        <v>2</v>
      </c>
    </row>
    <row r="3" spans="1:8" x14ac:dyDescent="0.2">
      <c r="A3" s="6" t="s">
        <v>3</v>
      </c>
      <c r="B3" s="7" t="s">
        <v>34</v>
      </c>
      <c r="C3" s="10">
        <v>100000</v>
      </c>
    </row>
    <row r="4" spans="1:8" x14ac:dyDescent="0.2">
      <c r="A4" s="6" t="s">
        <v>4</v>
      </c>
      <c r="B4" s="7" t="s">
        <v>8</v>
      </c>
      <c r="C4" s="10">
        <v>30000</v>
      </c>
    </row>
    <row r="5" spans="1:8" x14ac:dyDescent="0.2">
      <c r="A5" s="6" t="s">
        <v>5</v>
      </c>
      <c r="B5" s="7" t="s">
        <v>9</v>
      </c>
      <c r="C5" s="10">
        <v>200000</v>
      </c>
    </row>
    <row r="6" spans="1:8" x14ac:dyDescent="0.2">
      <c r="A6" s="6" t="s">
        <v>6</v>
      </c>
      <c r="B6" s="5" t="s">
        <v>10</v>
      </c>
      <c r="C6" s="10">
        <v>150000</v>
      </c>
    </row>
    <row r="7" spans="1:8" x14ac:dyDescent="0.2">
      <c r="A7" s="6" t="s">
        <v>7</v>
      </c>
      <c r="B7" s="7" t="s">
        <v>11</v>
      </c>
      <c r="C7" s="10">
        <v>100000</v>
      </c>
    </row>
    <row r="8" spans="1:8" x14ac:dyDescent="0.2">
      <c r="A8" s="8" t="s">
        <v>41</v>
      </c>
      <c r="B8" s="9" t="s">
        <v>36</v>
      </c>
      <c r="C8" s="11">
        <v>50000</v>
      </c>
      <c r="G8" s="13" t="s">
        <v>68</v>
      </c>
      <c r="H8" s="13"/>
    </row>
    <row r="9" spans="1:8" x14ac:dyDescent="0.2">
      <c r="A9" s="8" t="s">
        <v>39</v>
      </c>
      <c r="B9" s="9" t="s">
        <v>40</v>
      </c>
      <c r="C9" s="11">
        <f>SUM(Table1[Estimated Cost (INR)])</f>
        <v>630000</v>
      </c>
      <c r="G9" s="1" t="s">
        <v>29</v>
      </c>
      <c r="H9" s="1" t="s">
        <v>30</v>
      </c>
    </row>
    <row r="10" spans="1:8" x14ac:dyDescent="0.2">
      <c r="G10" s="16" t="s">
        <v>31</v>
      </c>
      <c r="H10" s="17">
        <v>630000</v>
      </c>
    </row>
    <row r="11" spans="1:8" x14ac:dyDescent="0.2">
      <c r="G11" s="16" t="s">
        <v>32</v>
      </c>
      <c r="H11" s="17">
        <v>2820000</v>
      </c>
    </row>
    <row r="12" spans="1:8" x14ac:dyDescent="0.2">
      <c r="G12" s="16" t="s">
        <v>67</v>
      </c>
      <c r="H12" s="17">
        <v>3450000</v>
      </c>
    </row>
    <row r="13" spans="1:8" x14ac:dyDescent="0.2">
      <c r="G13" s="16" t="s">
        <v>33</v>
      </c>
      <c r="H13" s="16">
        <v>12</v>
      </c>
    </row>
    <row r="15" spans="1:8" x14ac:dyDescent="0.2">
      <c r="A15" s="13" t="s">
        <v>37</v>
      </c>
      <c r="B15" s="13"/>
      <c r="C15" s="13"/>
    </row>
    <row r="16" spans="1:8" x14ac:dyDescent="0.2">
      <c r="A16" s="1" t="s">
        <v>0</v>
      </c>
      <c r="B16" s="1" t="s">
        <v>1</v>
      </c>
      <c r="C16" s="1" t="s">
        <v>12</v>
      </c>
    </row>
    <row r="17" spans="1:9" x14ac:dyDescent="0.2">
      <c r="A17" s="14" t="s">
        <v>13</v>
      </c>
      <c r="B17" s="14" t="s">
        <v>19</v>
      </c>
      <c r="C17" s="15">
        <v>30000</v>
      </c>
    </row>
    <row r="18" spans="1:9" x14ac:dyDescent="0.2">
      <c r="A18" s="14" t="s">
        <v>14</v>
      </c>
      <c r="B18" s="14" t="s">
        <v>20</v>
      </c>
      <c r="C18" s="15">
        <v>60000</v>
      </c>
      <c r="G18" s="12" t="s">
        <v>69</v>
      </c>
      <c r="H18" s="12"/>
      <c r="I18" s="30"/>
    </row>
    <row r="19" spans="1:9" x14ac:dyDescent="0.2">
      <c r="A19" s="14" t="s">
        <v>15</v>
      </c>
      <c r="B19" s="14" t="s">
        <v>21</v>
      </c>
      <c r="C19" s="15">
        <v>40000</v>
      </c>
      <c r="G19" s="27" t="s">
        <v>70</v>
      </c>
      <c r="H19" s="28">
        <v>11650000</v>
      </c>
      <c r="I19" s="30"/>
    </row>
    <row r="20" spans="1:9" x14ac:dyDescent="0.2">
      <c r="A20" s="14" t="s">
        <v>43</v>
      </c>
      <c r="B20" s="14" t="s">
        <v>22</v>
      </c>
      <c r="C20" s="15">
        <v>10000</v>
      </c>
      <c r="G20" s="27" t="s">
        <v>71</v>
      </c>
      <c r="H20" s="29" t="s">
        <v>72</v>
      </c>
      <c r="I20" s="30"/>
    </row>
    <row r="21" spans="1:9" x14ac:dyDescent="0.2">
      <c r="A21" s="14" t="s">
        <v>16</v>
      </c>
      <c r="B21" s="14" t="s">
        <v>23</v>
      </c>
      <c r="C21" s="15">
        <v>40000</v>
      </c>
      <c r="G21" s="27" t="s">
        <v>73</v>
      </c>
      <c r="H21" s="25">
        <v>2460000</v>
      </c>
      <c r="I21" s="30"/>
    </row>
    <row r="22" spans="1:9" x14ac:dyDescent="0.2">
      <c r="A22" s="14" t="s">
        <v>63</v>
      </c>
      <c r="B22" s="14" t="s">
        <v>64</v>
      </c>
      <c r="C22" s="15">
        <v>10000</v>
      </c>
      <c r="G22" s="27" t="s">
        <v>74</v>
      </c>
      <c r="H22" s="25">
        <v>5740000</v>
      </c>
      <c r="I22" s="30"/>
    </row>
    <row r="23" spans="1:9" x14ac:dyDescent="0.2">
      <c r="A23" s="14" t="s">
        <v>17</v>
      </c>
      <c r="B23" s="14" t="s">
        <v>24</v>
      </c>
      <c r="C23" s="15">
        <v>15000</v>
      </c>
    </row>
    <row r="24" spans="1:9" x14ac:dyDescent="0.2">
      <c r="A24" s="14" t="s">
        <v>60</v>
      </c>
      <c r="B24" s="14" t="s">
        <v>61</v>
      </c>
      <c r="C24" s="15">
        <v>20000</v>
      </c>
    </row>
    <row r="25" spans="1:9" x14ac:dyDescent="0.2">
      <c r="A25" s="14" t="s">
        <v>18</v>
      </c>
      <c r="B25" s="14" t="s">
        <v>25</v>
      </c>
      <c r="C25" s="15">
        <v>10000</v>
      </c>
    </row>
    <row r="26" spans="1:9" x14ac:dyDescent="0.2">
      <c r="A26" s="19" t="s">
        <v>42</v>
      </c>
      <c r="B26" s="19"/>
      <c r="C26" s="20">
        <f>SUM(C17:C25)</f>
        <v>235000</v>
      </c>
    </row>
    <row r="31" spans="1:9" x14ac:dyDescent="0.2">
      <c r="A31" s="21" t="s">
        <v>38</v>
      </c>
      <c r="B31" s="21"/>
      <c r="C31" s="21"/>
      <c r="D31" s="26"/>
    </row>
    <row r="32" spans="1:9" x14ac:dyDescent="0.2">
      <c r="A32" s="1" t="s">
        <v>26</v>
      </c>
      <c r="B32" s="1" t="s">
        <v>47</v>
      </c>
      <c r="C32" s="22" t="s">
        <v>52</v>
      </c>
      <c r="D32" s="22" t="s">
        <v>55</v>
      </c>
    </row>
    <row r="33" spans="1:4" x14ac:dyDescent="0.2">
      <c r="A33" s="24" t="s">
        <v>27</v>
      </c>
      <c r="B33" s="20" t="s">
        <v>48</v>
      </c>
      <c r="C33" s="20" t="s">
        <v>53</v>
      </c>
      <c r="D33" s="25">
        <v>50000</v>
      </c>
    </row>
    <row r="34" spans="1:4" x14ac:dyDescent="0.2">
      <c r="A34" s="24" t="s">
        <v>44</v>
      </c>
      <c r="B34" s="20" t="s">
        <v>49</v>
      </c>
      <c r="C34" s="20" t="s">
        <v>57</v>
      </c>
      <c r="D34" s="25">
        <v>5000000</v>
      </c>
    </row>
    <row r="35" spans="1:4" x14ac:dyDescent="0.2">
      <c r="A35" s="24" t="s">
        <v>45</v>
      </c>
      <c r="B35" s="24" t="s">
        <v>50</v>
      </c>
      <c r="C35" s="24" t="s">
        <v>58</v>
      </c>
      <c r="D35" s="25">
        <v>5000000</v>
      </c>
    </row>
    <row r="36" spans="1:4" x14ac:dyDescent="0.2">
      <c r="A36" s="24" t="s">
        <v>46</v>
      </c>
      <c r="B36" s="20" t="s">
        <v>62</v>
      </c>
      <c r="C36" s="20" t="s">
        <v>54</v>
      </c>
      <c r="D36" s="25">
        <v>400000</v>
      </c>
    </row>
    <row r="37" spans="1:4" x14ac:dyDescent="0.2">
      <c r="A37" s="24" t="s">
        <v>66</v>
      </c>
      <c r="B37" s="24" t="s">
        <v>65</v>
      </c>
      <c r="C37" s="20">
        <v>1500</v>
      </c>
      <c r="D37" s="25">
        <v>500000</v>
      </c>
    </row>
    <row r="38" spans="1:4" x14ac:dyDescent="0.2">
      <c r="A38" s="24" t="s">
        <v>28</v>
      </c>
      <c r="B38" s="24" t="s">
        <v>51</v>
      </c>
      <c r="C38" s="24" t="s">
        <v>59</v>
      </c>
      <c r="D38" s="25">
        <v>700000</v>
      </c>
    </row>
    <row r="39" spans="1:4" x14ac:dyDescent="0.2">
      <c r="A39" s="23" t="s">
        <v>56</v>
      </c>
      <c r="B39" s="18"/>
      <c r="C39" s="18"/>
      <c r="D39" s="25">
        <f>SUM(D33:D38)</f>
        <v>11650000</v>
      </c>
    </row>
  </sheetData>
  <mergeCells count="7">
    <mergeCell ref="G8:H8"/>
    <mergeCell ref="G18:H18"/>
    <mergeCell ref="A1:C1"/>
    <mergeCell ref="A15:C15"/>
    <mergeCell ref="A26:B26"/>
    <mergeCell ref="A39:C39"/>
    <mergeCell ref="A31:D3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Param Vinayak Anil Singh</cp:lastModifiedBy>
  <dcterms:created xsi:type="dcterms:W3CDTF">2024-12-06T20:28:49Z</dcterms:created>
  <dcterms:modified xsi:type="dcterms:W3CDTF">2024-12-07T03:19:48Z</dcterms:modified>
</cp:coreProperties>
</file>